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MS\elec\power\"/>
    </mc:Choice>
  </mc:AlternateContent>
  <xr:revisionPtr revIDLastSave="0" documentId="13_ncr:1_{13982774-ADC9-458E-861B-9854E2324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5" i="1"/>
  <c r="H4" i="1"/>
  <c r="H5" i="1" s="1"/>
  <c r="G4" i="1"/>
  <c r="G5" i="1" s="1"/>
</calcChain>
</file>

<file path=xl/sharedStrings.xml><?xml version="1.0" encoding="utf-8"?>
<sst xmlns="http://schemas.openxmlformats.org/spreadsheetml/2006/main" count="33" uniqueCount="32">
  <si>
    <t>Subsystem</t>
  </si>
  <si>
    <t>Device</t>
  </si>
  <si>
    <t>Component</t>
  </si>
  <si>
    <t>Rail (V)</t>
  </si>
  <si>
    <t>Quantity</t>
  </si>
  <si>
    <t>Typ Current (mA)</t>
  </si>
  <si>
    <t>Max Current (mA)</t>
  </si>
  <si>
    <t>Ave Power (mW)</t>
  </si>
  <si>
    <t>Motor</t>
  </si>
  <si>
    <t>Number of Phases</t>
  </si>
  <si>
    <t>Phase Current (mA)</t>
  </si>
  <si>
    <t>DIssipated Power (mW)</t>
  </si>
  <si>
    <t>Phase Resistant (Ω)</t>
  </si>
  <si>
    <t>Motor Total</t>
  </si>
  <si>
    <t>OBC</t>
  </si>
  <si>
    <t>MCU</t>
  </si>
  <si>
    <t>STM32G474RB</t>
  </si>
  <si>
    <t>Accelerometer</t>
  </si>
  <si>
    <t>H3LIS331DL</t>
  </si>
  <si>
    <t>ODR = 1000Hz</t>
  </si>
  <si>
    <t>Barometer</t>
  </si>
  <si>
    <t>BMP585</t>
  </si>
  <si>
    <t>Temp Sensor</t>
  </si>
  <si>
    <t>TMP1075D</t>
  </si>
  <si>
    <t>SCL freq = 400kHz (fast mode)</t>
  </si>
  <si>
    <t>Stepper Motor Driver</t>
  </si>
  <si>
    <t>OBC Total</t>
  </si>
  <si>
    <t>UV LCD Board</t>
  </si>
  <si>
    <t>3x3 LEDs</t>
  </si>
  <si>
    <t>15V</t>
  </si>
  <si>
    <t>Number of Cells:</t>
  </si>
  <si>
    <t>Cell Min Voltage: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</si>
</sst>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292A2E"/>
      <name val="Arial"/>
      <scheme val="minor"/>
    </font>
    <font>
      <sz val="10"/>
      <color rgb="FF292A2E"/>
      <name val="&quot;Atlassian Sans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7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2.6640625" defaultRowHeight="15.75" customHeight="1"/>
  <cols>
    <col min="1" max="1" width="16.21875" customWidth="1"/>
    <col min="2" max="2" width="16.33203125" customWidth="1"/>
    <col min="3" max="3" width="16.21875" customWidth="1"/>
    <col min="4" max="4" width="6.6640625" customWidth="1"/>
    <col min="5" max="5" width="15.109375" customWidth="1"/>
    <col min="6" max="6" width="14.44140625" customWidth="1"/>
    <col min="7" max="7" width="16" customWidth="1"/>
    <col min="8" max="8" width="19.33203125" customWidth="1"/>
    <col min="9" max="9" width="17" customWidth="1"/>
    <col min="10" max="10" width="27.3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26">
      <c r="A2" s="1"/>
      <c r="E2" s="1"/>
    </row>
    <row r="3" spans="1:26">
      <c r="A3" s="3" t="s">
        <v>8</v>
      </c>
      <c r="B3" s="1"/>
      <c r="C3" s="1"/>
      <c r="D3" s="1"/>
      <c r="E3" s="3" t="s">
        <v>9</v>
      </c>
      <c r="F3" s="3" t="s">
        <v>10</v>
      </c>
      <c r="G3" s="3" t="s">
        <v>6</v>
      </c>
      <c r="H3" s="3" t="s">
        <v>11</v>
      </c>
      <c r="I3" s="3" t="s">
        <v>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E4" s="1">
        <v>2</v>
      </c>
      <c r="F4" s="1">
        <v>1400</v>
      </c>
      <c r="G4" s="1">
        <f>H4/(A27*A25)</f>
        <v>462.00000000000006</v>
      </c>
      <c r="H4" s="1">
        <f>(F4^2*I4)*10^-3</f>
        <v>5174.4000000000005</v>
      </c>
      <c r="I4" s="1">
        <v>2.64</v>
      </c>
    </row>
    <row r="5" spans="1:26">
      <c r="A5" s="3" t="s">
        <v>13</v>
      </c>
      <c r="B5" s="1"/>
      <c r="C5" s="1"/>
      <c r="D5" s="1"/>
      <c r="E5" s="1"/>
      <c r="F5" s="4">
        <f>F4*E4</f>
        <v>2800</v>
      </c>
      <c r="G5" s="3">
        <f>G4*E4</f>
        <v>924.00000000000011</v>
      </c>
      <c r="H5" s="4">
        <f>H4*E4</f>
        <v>10348.800000000001</v>
      </c>
      <c r="I5" s="4">
        <f>I4*E4</f>
        <v>5.28</v>
      </c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14</v>
      </c>
    </row>
    <row r="7" spans="1:26">
      <c r="B7" s="1" t="s">
        <v>15</v>
      </c>
      <c r="C7" s="5" t="s">
        <v>16</v>
      </c>
      <c r="D7" s="1">
        <v>3.3</v>
      </c>
    </row>
    <row r="8" spans="1:26">
      <c r="B8" s="1" t="s">
        <v>17</v>
      </c>
      <c r="C8" s="6" t="s">
        <v>18</v>
      </c>
      <c r="D8" s="1">
        <v>3.3</v>
      </c>
      <c r="F8" s="1">
        <v>0.37</v>
      </c>
      <c r="G8" s="1">
        <v>0.37</v>
      </c>
      <c r="J8" s="1" t="s">
        <v>19</v>
      </c>
    </row>
    <row r="9" spans="1:26">
      <c r="B9" s="1" t="s">
        <v>20</v>
      </c>
      <c r="C9" s="5" t="s">
        <v>21</v>
      </c>
      <c r="D9" s="1">
        <v>3.3</v>
      </c>
      <c r="F9" s="1">
        <v>7.4999999999999997E-2</v>
      </c>
      <c r="G9" s="1">
        <v>0.08</v>
      </c>
    </row>
    <row r="10" spans="1:26">
      <c r="B10" s="1" t="s">
        <v>22</v>
      </c>
      <c r="C10" s="5" t="s">
        <v>23</v>
      </c>
      <c r="D10" s="1">
        <v>3.3</v>
      </c>
      <c r="F10" s="1">
        <v>0.01</v>
      </c>
      <c r="G10" s="1">
        <v>0.01</v>
      </c>
      <c r="J10" s="1" t="s">
        <v>24</v>
      </c>
    </row>
    <row r="11" spans="1:26">
      <c r="B11" s="1" t="s">
        <v>25</v>
      </c>
    </row>
    <row r="12" spans="1:26">
      <c r="B12" s="1"/>
    </row>
    <row r="13" spans="1:26">
      <c r="A13" s="1" t="s">
        <v>26</v>
      </c>
    </row>
    <row r="14" spans="1:26">
      <c r="A14" s="1" t="s">
        <v>27</v>
      </c>
    </row>
    <row r="15" spans="1:26">
      <c r="B15" s="1" t="s">
        <v>28</v>
      </c>
      <c r="D15" s="1" t="s">
        <v>29</v>
      </c>
      <c r="E15" s="1">
        <v>9</v>
      </c>
      <c r="F15" s="1">
        <v>600</v>
      </c>
      <c r="G15" s="1">
        <v>700</v>
      </c>
    </row>
    <row r="24" spans="1:1">
      <c r="A24" s="1" t="s">
        <v>30</v>
      </c>
    </row>
    <row r="25" spans="1:1">
      <c r="A25" s="1">
        <v>4</v>
      </c>
    </row>
    <row r="26" spans="1:1">
      <c r="A26" s="1" t="s">
        <v>31</v>
      </c>
    </row>
    <row r="27" spans="1:1">
      <c r="A27" s="1">
        <v>2.8</v>
      </c>
    </row>
  </sheetData>
  <conditionalFormatting sqref="A3:E3 G3 J3:Z3">
    <cfRule type="containsBlanks" dxfId="2" priority="1">
      <formula>LEN(TRIM(A3))=0</formula>
    </cfRule>
  </conditionalFormatting>
  <conditionalFormatting sqref="A1:Z1">
    <cfRule type="notContainsBlanks" dxfId="1" priority="3">
      <formula>LEN(TRIM(A1))&gt;0</formula>
    </cfRule>
  </conditionalFormatting>
  <conditionalFormatting sqref="B5:Z5">
    <cfRule type="containsBlanks" dxfId="0" priority="2">
      <formula>LEN(TRIM(B5))=0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Nhân Nguyễn</cp:lastModifiedBy>
  <dcterms:modified xsi:type="dcterms:W3CDTF">2026-04-17T07:15:40Z</dcterms:modified>
</cp:coreProperties>
</file>