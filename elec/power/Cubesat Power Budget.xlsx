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<sst xmlns="http://schemas.openxmlformats.org/spreadsheetml/2006/main" count="31" uniqueCount="30">
  <si>
    <t>Subsystem</t>
  </si>
  <si>
    <t>Device</t>
  </si>
  <si>
    <t>Component</t>
  </si>
  <si>
    <t>Rail (V)</t>
  </si>
  <si>
    <t>Quantity</t>
  </si>
  <si>
    <t>Typ Current (mA)</t>
  </si>
  <si>
    <t>Max Current (mA)</t>
  </si>
  <si>
    <t>Ave Power (mW)</t>
  </si>
  <si>
    <t>Motor</t>
  </si>
  <si>
    <t>Number of Phases</t>
  </si>
  <si>
    <t>Phase Current (mA)</t>
  </si>
  <si>
    <t>DIssipated Power (mW)</t>
  </si>
  <si>
    <t>Phase Resistant (Ω)</t>
  </si>
  <si>
    <t>Motor Total</t>
  </si>
  <si>
    <t>OBC</t>
  </si>
  <si>
    <t>MCU</t>
  </si>
  <si>
    <t>STM32G474RB</t>
  </si>
  <si>
    <t>Accelerometer</t>
  </si>
  <si>
    <t>H3LIS331DL</t>
  </si>
  <si>
    <t>Barometer</t>
  </si>
  <si>
    <t>BMP585</t>
  </si>
  <si>
    <t>Temp Sensor</t>
  </si>
  <si>
    <t>TMP1075D</t>
  </si>
  <si>
    <t>Stepper Motor Driver</t>
  </si>
  <si>
    <t>OBC Total</t>
  </si>
  <si>
    <t>UV LCD Board</t>
  </si>
  <si>
    <t>3x3 LEDs</t>
  </si>
  <si>
    <t>15V</t>
  </si>
  <si>
    <t>Number of Cells:</t>
  </si>
  <si>
    <t>Cell Min Voltage: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</si>
</sst>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sz val="10.0"/>
      <color rgb="FF292A2E"/>
      <name val="Arial"/>
      <scheme val="minor"/>
    </font>
    <font>
      <sz val="12.0"/>
      <color rgb="FF292A2E"/>
      <name val="&quot;Atlassian Sans&quot;"/>
    </font>
  </fonts>
  <fills count="5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Fill="1" applyFont="1"/>
    <xf borderId="0" fillId="3" fontId="1" numFmtId="0" xfId="0" applyAlignment="1" applyFill="1" applyFont="1">
      <alignment readingOrder="0"/>
    </xf>
    <xf borderId="0" fillId="0" fontId="1" numFmtId="0" xfId="0" applyFont="1"/>
    <xf borderId="0" fillId="3" fontId="2" numFmtId="0" xfId="0" applyFont="1"/>
    <xf borderId="0" fillId="3" fontId="1" numFmtId="0" xfId="0" applyFont="1"/>
    <xf borderId="0" fillId="4" fontId="3" numFmtId="0" xfId="0" applyAlignment="1" applyFill="1" applyFont="1">
      <alignment horizontal="left" readingOrder="0"/>
    </xf>
    <xf borderId="0" fillId="4" fontId="4" numFmtId="0" xfId="0" applyAlignment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25"/>
    <col customWidth="1" min="2" max="2" width="16.38"/>
    <col customWidth="1" min="3" max="3" width="16.25"/>
    <col customWidth="1" min="4" max="4" width="6.63"/>
    <col customWidth="1" min="5" max="5" width="15.13"/>
    <col customWidth="1" min="6" max="6" width="14.5"/>
    <col customWidth="1" min="7" max="7" width="16.0"/>
    <col customWidth="1" min="8" max="8" width="19.38"/>
    <col customWidth="1" min="9" max="9" width="17.0"/>
    <col customWidth="1" min="10" max="10" width="14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/>
    </row>
    <row r="2">
      <c r="A2" s="1"/>
      <c r="E2" s="1"/>
    </row>
    <row r="3">
      <c r="A3" s="3" t="s">
        <v>8</v>
      </c>
      <c r="B3" s="4"/>
      <c r="C3" s="4"/>
      <c r="D3" s="4"/>
      <c r="E3" s="3" t="s">
        <v>9</v>
      </c>
      <c r="F3" s="3" t="s">
        <v>10</v>
      </c>
      <c r="G3" s="3" t="s">
        <v>6</v>
      </c>
      <c r="H3" s="3" t="s">
        <v>11</v>
      </c>
      <c r="I3" s="3" t="s">
        <v>12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E4" s="1">
        <v>2.0</v>
      </c>
      <c r="F4" s="1">
        <v>1400.0</v>
      </c>
      <c r="G4" s="4">
        <f>H4/(A27*A25)</f>
        <v>462</v>
      </c>
      <c r="H4" s="4">
        <f>(F4^2*I4)*10^-3</f>
        <v>5174.4</v>
      </c>
      <c r="I4" s="1">
        <v>2.64</v>
      </c>
    </row>
    <row r="5">
      <c r="A5" s="3" t="s">
        <v>13</v>
      </c>
      <c r="B5" s="4"/>
      <c r="C5" s="4"/>
      <c r="D5" s="4"/>
      <c r="E5" s="4"/>
      <c r="F5" s="5">
        <f>F4*E4</f>
        <v>2800</v>
      </c>
      <c r="G5" s="6">
        <f>G4*E4</f>
        <v>924</v>
      </c>
      <c r="H5" s="5">
        <f>H4*E4</f>
        <v>10348.8</v>
      </c>
      <c r="I5" s="5">
        <f>I4*E4</f>
        <v>5.28</v>
      </c>
      <c r="J5" s="5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" t="s">
        <v>14</v>
      </c>
    </row>
    <row r="7">
      <c r="B7" s="1" t="s">
        <v>15</v>
      </c>
      <c r="C7" s="7" t="s">
        <v>16</v>
      </c>
    </row>
    <row r="8">
      <c r="B8" s="1" t="s">
        <v>17</v>
      </c>
      <c r="C8" s="8" t="s">
        <v>18</v>
      </c>
    </row>
    <row r="9">
      <c r="B9" s="1" t="s">
        <v>19</v>
      </c>
      <c r="C9" s="7" t="s">
        <v>20</v>
      </c>
    </row>
    <row r="10">
      <c r="B10" s="1" t="s">
        <v>21</v>
      </c>
      <c r="C10" s="7" t="s">
        <v>22</v>
      </c>
    </row>
    <row r="11">
      <c r="B11" s="1" t="s">
        <v>23</v>
      </c>
    </row>
    <row r="12">
      <c r="B12" s="1"/>
    </row>
    <row r="13">
      <c r="A13" s="1" t="s">
        <v>24</v>
      </c>
    </row>
    <row r="14">
      <c r="A14" s="1" t="s">
        <v>25</v>
      </c>
    </row>
    <row r="15">
      <c r="B15" s="1" t="s">
        <v>26</v>
      </c>
      <c r="D15" s="1" t="s">
        <v>27</v>
      </c>
      <c r="E15" s="1">
        <v>1.0</v>
      </c>
      <c r="F15" s="1">
        <v>600.0</v>
      </c>
      <c r="G15" s="1">
        <v>700.0</v>
      </c>
    </row>
    <row r="24">
      <c r="A24" s="1" t="s">
        <v>28</v>
      </c>
    </row>
    <row r="25">
      <c r="A25" s="1">
        <v>4.0</v>
      </c>
    </row>
    <row r="26">
      <c r="A26" s="1" t="s">
        <v>29</v>
      </c>
    </row>
    <row r="27">
      <c r="A27" s="1">
        <v>2.8</v>
      </c>
    </row>
  </sheetData>
  <conditionalFormatting sqref="A3:E3 G3 J3:Z3">
    <cfRule type="containsBlanks" dxfId="0" priority="1">
      <formula>LEN(TRIM(A3))=0</formula>
    </cfRule>
  </conditionalFormatting>
  <conditionalFormatting sqref="B5:Z5">
    <cfRule type="containsBlanks" dxfId="0" priority="2">
      <formula>LEN(TRIM(B5))=0</formula>
    </cfRule>
  </conditionalFormatting>
  <conditionalFormatting sqref="A1:Z1">
    <cfRule type="notContainsBlanks" dxfId="1" priority="3">
      <formula>LEN(TRIM(A1))&gt;0</formula>
    </cfRule>
  </conditionalFormatting>
  <drawing r:id="rId1"/>
</worksheet>
</file>